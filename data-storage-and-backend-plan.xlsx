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ocal vs cloud" sheetId="2" state="visible" r:id="rId4"/>
    <sheet name="Backend options" sheetId="3" state="visible" r:id="rId5"/>
    <sheet name="Next steps" sheetId="4" state="visible" r:id="rId6"/>
    <sheet name="Done this rou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<sst xmlns="http://schemas.openxmlformats.org/spreadsheetml/2006/main" count="201" uniqueCount="172">
  <si>
    <t xml:space="preserve">Where the app's data lives: local vs cloud</t>
  </si>
  <si>
    <t xml:space="preserve">Built from the previous answer in this conversation.</t>
  </si>
  <si>
    <t xml:space="preserve">The finding</t>
  </si>
  <si>
    <t xml:space="preserve">The app has a real database, but it is inside the phone (browser storage). There is no server, no online database and no accounts.</t>
  </si>
  <si>
    <t xml:space="preserve">Why it was built that way</t>
  </si>
  <si>
    <t xml:space="preserve">Offline-first by design: it works with no internet, needs no accounts and costs almost nothing to run.</t>
  </si>
  <si>
    <t xml:space="preserve">What it means</t>
  </si>
  <si>
    <t xml:space="preserve">No sync between phones, no online backup and no staff logins. If the phone is lost or cleared, the records are gone unless a backup file was made.</t>
  </si>
  <si>
    <t xml:space="preserve">Recommendation</t>
  </si>
  <si>
    <t xml:space="preserve">Build a backend before promoting the app to real shops. The Play closed test can start now with the current version, with testers told to back up.</t>
  </si>
  <si>
    <t xml:space="preserve">Decision needed</t>
  </si>
  <si>
    <t xml:space="preserve">Own server code + PostgreSQL, or a managed service? See the 'Backend options' sheet to score them.</t>
  </si>
  <si>
    <t xml:space="preserve">At a glance (linked from the other sheets)</t>
  </si>
  <si>
    <t xml:space="preserve">Rows compared</t>
  </si>
  <si>
    <t xml:space="preserve">Gaps a backend would close</t>
  </si>
  <si>
    <t xml:space="preserve">Next steps done</t>
  </si>
  <si>
    <t xml:space="preserve">Current leaning on the backend options</t>
  </si>
  <si>
    <t xml:space="preserve">Colour key</t>
  </si>
  <si>
    <t xml:space="preserve">Blue text on yellow</t>
  </si>
  <si>
    <t xml:space="preserve">A cell for you to fill in or change (dropdowns, weights, scores, status).</t>
  </si>
  <si>
    <t xml:space="preserve">Black text</t>
  </si>
  <si>
    <t xml:space="preserve">A formula or fixed text. Do not type over it.</t>
  </si>
  <si>
    <t xml:space="preserve">Green text</t>
  </si>
  <si>
    <t xml:space="preserve">A figure linked from another sheet.</t>
  </si>
  <si>
    <t xml:space="preserve">This app today vs a typical cloud store app</t>
  </si>
  <si>
    <t xml:space="preserve">Source: the previous answer in this conversation. A general comparison, not measured data.</t>
  </si>
  <si>
    <t xml:space="preserve">Topic</t>
  </si>
  <si>
    <t xml:space="preserve">This app today</t>
  </si>
  <si>
    <t xml:space="preserve">Typical cloud store app</t>
  </si>
  <si>
    <t xml:space="preserve">Gap closed by a backend?</t>
  </si>
  <si>
    <t xml:space="preserve">Note</t>
  </si>
  <si>
    <t xml:space="preserve">Where data lives</t>
  </si>
  <si>
    <t xml:space="preserve">On the phone only</t>
  </si>
  <si>
    <t xml:space="preserve">On the company's server, tied to an account</t>
  </si>
  <si>
    <t xml:space="preserve">Yes</t>
  </si>
  <si>
    <t xml:space="preserve">The core difference: the app has a real database, but it is inside the phone.</t>
  </si>
  <si>
    <t xml:space="preserve">Several phones or staff</t>
  </si>
  <si>
    <t xml:space="preserve">Each phone has its own separate data</t>
  </si>
  <si>
    <t xml:space="preserve">Everyone sees the same stock</t>
  </si>
  <si>
    <t xml:space="preserve">Needs sync between phones.</t>
  </si>
  <si>
    <t xml:space="preserve">If the phone is lost or cleared</t>
  </si>
  <si>
    <t xml:space="preserve">Gone, unless you made a backup file</t>
  </si>
  <si>
    <t xml:space="preserve">Sign in on a new phone and it's back</t>
  </si>
  <si>
    <t xml:space="preserve">Needs cloud backup. This is the biggest risk for real shops.</t>
  </si>
  <si>
    <t xml:space="preserve">Owner checking from home</t>
  </si>
  <si>
    <t xml:space="preserve">Not possible</t>
  </si>
  <si>
    <t xml:space="preserve">Possible</t>
  </si>
  <si>
    <t xml:space="preserve">Needs the data to be on a server.</t>
  </si>
  <si>
    <t xml:space="preserve">Staff logins and permissions</t>
  </si>
  <si>
    <t xml:space="preserve">None (anyone can switch person)</t>
  </si>
  <si>
    <t xml:space="preserve">Needs real sign-in and roles.</t>
  </si>
  <si>
    <t xml:space="preserve">Works with no internet</t>
  </si>
  <si>
    <t xml:space="preserve">Fully</t>
  </si>
  <si>
    <t xml:space="preserve">Usually partly</t>
  </si>
  <si>
    <t xml:space="preserve">No</t>
  </si>
  <si>
    <t xml:space="preserve">Already stronger here. Keep it offline-first when adding a backend: changes queue up and upload when the phone is online.</t>
  </si>
  <si>
    <t xml:space="preserve">Cost to run</t>
  </si>
  <si>
    <t xml:space="preserve">Almost nothing</t>
  </si>
  <si>
    <t xml:space="preserve">Server and database costs</t>
  </si>
  <si>
    <t xml:space="preserve">Trade-off</t>
  </si>
  <si>
    <t xml:space="preserve">A backend adds running cost.</t>
  </si>
  <si>
    <t xml:space="preserve">Privacy</t>
  </si>
  <si>
    <t xml:space="preserve">Nothing leaves the phone</t>
  </si>
  <si>
    <t xml:space="preserve">You hold other people's data, which brings legal duties</t>
  </si>
  <si>
    <t xml:space="preserve">Check what Kenya's Data Protection Act requires of you, including whether you must register.</t>
  </si>
  <si>
    <t xml:space="preserve">Summary</t>
  </si>
  <si>
    <t xml:space="preserve">Gaps a backend closes</t>
  </si>
  <si>
    <t xml:space="preserve">Trade-offs a backend adds</t>
  </si>
  <si>
    <t xml:space="preserve">Where this app is already better</t>
  </si>
  <si>
    <t xml:space="preserve">Column D can be changed from its dropdown, and the summary above recalculates.</t>
  </si>
  <si>
    <t xml:space="preserve">Two ways to build the backend</t>
  </si>
  <si>
    <t xml:space="preserve">Source: the previous answer. Both ways need the same two parts: (1) sign-in, with each business's data kept separate on the server; (2) sync, which uploads changes made offline once the phone is online.</t>
  </si>
  <si>
    <t xml:space="preserve">Aspect</t>
  </si>
  <si>
    <t xml:space="preserve">Option A: your own server code + PostgreSQL</t>
  </si>
  <si>
    <t xml:space="preserve">Option B: managed service (database and sign-in provided)</t>
  </si>
  <si>
    <t xml:space="preserve">What it is</t>
  </si>
  <si>
    <t xml:space="preserve">You write and run the server code and the database</t>
  </si>
  <si>
    <t xml:space="preserve">A provider supplies the database and the sign-in</t>
  </si>
  <si>
    <t xml:space="preserve">Control</t>
  </si>
  <si>
    <t xml:space="preserve">More control</t>
  </si>
  <si>
    <t xml:space="preserve">Less control</t>
  </si>
  <si>
    <t xml:space="preserve">Build effort</t>
  </si>
  <si>
    <t xml:space="preserve">More work</t>
  </si>
  <si>
    <t xml:space="preserve">Faster</t>
  </si>
  <si>
    <t xml:space="preserve">Dependence on one provider</t>
  </si>
  <si>
    <t xml:space="preserve">Low</t>
  </si>
  <si>
    <t xml:space="preserve">Ties you to that provider</t>
  </si>
  <si>
    <t xml:space="preserve">The assistant's lean</t>
  </si>
  <si>
    <t xml:space="preserve">Leans this way for a solo developer. Your call.</t>
  </si>
  <si>
    <t xml:space="preserve">Score the options yourself</t>
  </si>
  <si>
    <t xml:space="preserve">How to use this grid: type in the blue-on-yellow cells only. Weight = how much the criterion matters to you (1 to 5). Score = how well each option does on it (1 to 5, 5 is best). Everything else is a formula.</t>
  </si>
  <si>
    <t xml:space="preserve">Criterion</t>
  </si>
  <si>
    <t xml:space="preserve">Weight (1-5)</t>
  </si>
  <si>
    <t xml:space="preserve">Score: A (1-5)</t>
  </si>
  <si>
    <t xml:space="preserve">Score: B (1-5)</t>
  </si>
  <si>
    <t xml:space="preserve">Weighted A</t>
  </si>
  <si>
    <t xml:space="preserve">Weighted B</t>
  </si>
  <si>
    <t xml:space="preserve">EXAMPLE, not counted: Monthly running cost</t>
  </si>
  <si>
    <t xml:space="preserve">Control over the system</t>
  </si>
  <si>
    <t xml:space="preserve">Speed to build</t>
  </si>
  <si>
    <t xml:space="preserve">Independence from one provider</t>
  </si>
  <si>
    <t xml:space="preserve">(add your own criterion)</t>
  </si>
  <si>
    <t xml:space="preserve">Total weighted score</t>
  </si>
  <si>
    <t xml:space="preserve">Average score out of 5</t>
  </si>
  <si>
    <t xml:space="preserve">Your result</t>
  </si>
  <si>
    <t xml:space="preserve">Next steps</t>
  </si>
  <si>
    <t xml:space="preserve">Source: the recommendation in the previous answer. Change a Status from its dropdown and the progress figures update.</t>
  </si>
  <si>
    <t xml:space="preserve">#</t>
  </si>
  <si>
    <t xml:space="preserve">Step</t>
  </si>
  <si>
    <t xml:space="preserve">Why</t>
  </si>
  <si>
    <t xml:space="preserve">Who</t>
  </si>
  <si>
    <t xml:space="preserve">Status</t>
  </si>
  <si>
    <t xml:space="preserve">Notes</t>
  </si>
  <si>
    <t xml:space="preserve">Redeploy the new zip to your site</t>
  </si>
  <si>
    <t xml:space="preserve">Gets the avatar menu and the full Settings page live. The site you looked at was an older version.</t>
  </si>
  <si>
    <t xml:space="preserve">You</t>
  </si>
  <si>
    <t xml:space="preserve">Not started</t>
  </si>
  <si>
    <t xml:space="preserve">Choose the backend path</t>
  </si>
  <si>
    <t xml:space="preserve">Decides the work: own server + PostgreSQL, or a managed service. See the 'Backend options' sheet.</t>
  </si>
  <si>
    <t xml:space="preserve">The assistant leans to the managed service for a solo developer.</t>
  </si>
  <si>
    <t xml:space="preserve">Build sign-in, with each business's data kept separate on the server</t>
  </si>
  <si>
    <t xml:space="preserve">Lets many shops share one backend safely.</t>
  </si>
  <si>
    <t xml:space="preserve">Claude, after the choice above</t>
  </si>
  <si>
    <t xml:space="preserve">Build sync</t>
  </si>
  <si>
    <t xml:space="preserve">Uploads changes made offline once the phone is online, so every phone sees the same stock.</t>
  </si>
  <si>
    <t xml:space="preserve">Keeps working offline.</t>
  </si>
  <si>
    <t xml:space="preserve">Add cloud backup</t>
  </si>
  <si>
    <t xml:space="preserve">A lost or cleared phone no longer means lost records.</t>
  </si>
  <si>
    <t xml:space="preserve">Claude, with sync</t>
  </si>
  <si>
    <t xml:space="preserve">Plan how existing on-phone data moves into an account</t>
  </si>
  <si>
    <t xml:space="preserve">Testers on the current version should not lose their records when sync arrives.</t>
  </si>
  <si>
    <t xml:space="preserve">You and Claude</t>
  </si>
  <si>
    <t xml:space="preserve">Start the Play closed test with the current version</t>
  </si>
  <si>
    <t xml:space="preserve">The test period has to run anyway. Third-party guides report at least 12 testers for 14 days for new personal accounts.</t>
  </si>
  <si>
    <t xml:space="preserve">Confirm the current rule in your own Play Console.</t>
  </si>
  <si>
    <t xml:space="preserve">Tell testers to back up regularly</t>
  </si>
  <si>
    <t xml:space="preserve">Until there is a backend, there is no online copy.</t>
  </si>
  <si>
    <t xml:space="preserve">Settings &gt; Download backup.</t>
  </si>
  <si>
    <t xml:space="preserve">Check Kenya's Data Protection Act duties</t>
  </si>
  <si>
    <t xml:space="preserve">Once customers' names and phone numbers are on a server you hold personal data. Check whether you must register.</t>
  </si>
  <si>
    <t xml:space="preserve">You (consider legal advice)</t>
  </si>
  <si>
    <t xml:space="preserve">Not legal advice.</t>
  </si>
  <si>
    <t xml:space="preserve">Tell the assistant anything missing from Settings</t>
  </si>
  <si>
    <t xml:space="preserve">It can be added.</t>
  </si>
  <si>
    <t xml:space="preserve">Progress</t>
  </si>
  <si>
    <t xml:space="preserve">Total steps</t>
  </si>
  <si>
    <t xml:space="preserve">Done</t>
  </si>
  <si>
    <t xml:space="preserve">In progress</t>
  </si>
  <si>
    <t xml:space="preserve">Percent done</t>
  </si>
  <si>
    <t xml:space="preserve">What was done this round</t>
  </si>
  <si>
    <t xml:space="preserve">Source: the previous answer. Test counts are typed in from the last test runs in this conversation (blue), not calculated.</t>
  </si>
  <si>
    <t xml:space="preserve">Item</t>
  </si>
  <si>
    <t xml:space="preserve">Detail</t>
  </si>
  <si>
    <t xml:space="preserve">Avatar dropdown menu</t>
  </si>
  <si>
    <t xml:space="preserve">It was only a link to Settings. It is now a menu: your name and shop, Switch person, Settings, Back up your data and Privacy policy. It closes on Escape, a tap outside, or choosing an item.</t>
  </si>
  <si>
    <t xml:space="preserve">Menu bug fixed</t>
  </si>
  <si>
    <t xml:space="preserve">Tapping Settings while already on the Settings page left the menu open.</t>
  </si>
  <si>
    <t xml:space="preserve">Settings page</t>
  </si>
  <si>
    <t xml:space="preserve">Business details, staff (who is using the phone), backup and restore, where your data is stored, About, and a safe erase. The older deployment you saw showed a placeholder.</t>
  </si>
  <si>
    <t xml:space="preserve">Updated stockly.zip</t>
  </si>
  <si>
    <t xml:space="preserve">Includes everything above.</t>
  </si>
  <si>
    <t xml:space="preserve">Test on a physical phone</t>
  </si>
  <si>
    <t xml:space="preserve">Open</t>
  </si>
  <si>
    <t xml:space="preserve">Not done. Tested in a browser at phone size only.</t>
  </si>
  <si>
    <t xml:space="preserve">Redeploy to your live site</t>
  </si>
  <si>
    <t xml:space="preserve">Your live site shows the old version until you upload the new zip.</t>
  </si>
  <si>
    <t xml:space="preserve">Verification</t>
  </si>
  <si>
    <t xml:space="preserve">Passed</t>
  </si>
  <si>
    <t xml:space="preserve">Total run</t>
  </si>
  <si>
    <t xml:space="preserve">Pass rate</t>
  </si>
  <si>
    <t xml:space="preserve">Unit tests</t>
  </si>
  <si>
    <t xml:space="preserve">Browser checks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</si>
</sst>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F4F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2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9.5" hidden="false" customHeight="true" outlineLevel="0" collapsed="false">
      <c r="A10" s="5" t="s">
        <v>12</v>
      </c>
    </row>
    <row r="11" customFormat="false" ht="15" hidden="false" customHeight="false" outlineLevel="0" collapsed="false">
      <c r="A11" s="4" t="s">
        <v>13</v>
      </c>
      <c r="B11" s="6" t="n">
        <f aca="false">'Local vs cloud'!B15</f>
        <v>8</v>
      </c>
    </row>
    <row r="12" customFormat="false" ht="15" hidden="false" customHeight="false" outlineLevel="0" collapsed="false">
      <c r="A12" s="4" t="s">
        <v>14</v>
      </c>
      <c r="B12" s="6" t="n">
        <f aca="false">'Local vs cloud'!B16</f>
        <v>5</v>
      </c>
    </row>
    <row r="13" customFormat="false" ht="15" hidden="false" customHeight="false" outlineLevel="0" collapsed="false">
      <c r="A13" s="4" t="s">
        <v>15</v>
      </c>
      <c r="B13" s="7" t="n">
        <f aca="false">'Next steps'!C21</f>
        <v>0</v>
      </c>
    </row>
    <row r="14" customFormat="false" ht="15" hidden="false" customHeight="false" outlineLevel="0" collapsed="false">
      <c r="A14" s="4" t="s">
        <v>16</v>
      </c>
      <c r="B14" s="6" t="str">
        <f aca="false">'Backend options'!B23</f>
        <v>Fill in the yellow cells</v>
      </c>
    </row>
    <row r="16" customFormat="false" ht="15" hidden="false" customHeight="false" outlineLevel="0" collapsed="false">
      <c r="A16" s="8" t="s">
        <v>17</v>
      </c>
    </row>
    <row r="17" customFormat="false" ht="15" hidden="false" customHeight="false" outlineLevel="0" collapsed="false">
      <c r="A17" s="9" t="s">
        <v>18</v>
      </c>
      <c r="B17" s="4" t="s">
        <v>19</v>
      </c>
    </row>
    <row r="18" customFormat="false" ht="15" hidden="false" customHeight="false" outlineLevel="0" collapsed="false">
      <c r="A18" s="4" t="s">
        <v>20</v>
      </c>
      <c r="B18" s="4" t="s">
        <v>21</v>
      </c>
    </row>
    <row r="19" customFormat="false" ht="15" hidden="false" customHeight="false" outlineLevel="0" collapsed="false">
      <c r="A19" s="10" t="s">
        <v>22</v>
      </c>
      <c r="B1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52"/>
  </cols>
  <sheetData>
    <row r="1" customFormat="false" ht="24" hidden="false" customHeight="tru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3.85" hidden="false" customHeight="false" outlineLevel="0" collapsed="false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</row>
    <row r="5" customFormat="false" ht="23.85" hidden="false" customHeight="false" outlineLevel="0" collapsed="false">
      <c r="A5" s="12" t="s">
        <v>31</v>
      </c>
      <c r="B5" s="4" t="s">
        <v>32</v>
      </c>
      <c r="C5" s="4" t="s">
        <v>33</v>
      </c>
      <c r="D5" s="13" t="s">
        <v>34</v>
      </c>
      <c r="E5" s="4" t="s">
        <v>35</v>
      </c>
    </row>
    <row r="6" customFormat="false" ht="15" hidden="false" customHeight="false" outlineLevel="0" collapsed="false">
      <c r="A6" s="12" t="s">
        <v>36</v>
      </c>
      <c r="B6" s="4" t="s">
        <v>37</v>
      </c>
      <c r="C6" s="4" t="s">
        <v>38</v>
      </c>
      <c r="D6" s="13" t="s">
        <v>34</v>
      </c>
      <c r="E6" s="4" t="s">
        <v>39</v>
      </c>
    </row>
    <row r="7" customFormat="false" ht="15" hidden="false" customHeight="false" outlineLevel="0" collapsed="false">
      <c r="A7" s="12" t="s">
        <v>40</v>
      </c>
      <c r="B7" s="4" t="s">
        <v>41</v>
      </c>
      <c r="C7" s="4" t="s">
        <v>42</v>
      </c>
      <c r="D7" s="13" t="s">
        <v>34</v>
      </c>
      <c r="E7" s="4" t="s">
        <v>43</v>
      </c>
    </row>
    <row r="8" customFormat="false" ht="15" hidden="false" customHeight="false" outlineLevel="0" collapsed="false">
      <c r="A8" s="12" t="s">
        <v>44</v>
      </c>
      <c r="B8" s="4" t="s">
        <v>45</v>
      </c>
      <c r="C8" s="4" t="s">
        <v>46</v>
      </c>
      <c r="D8" s="13" t="s">
        <v>34</v>
      </c>
      <c r="E8" s="4" t="s">
        <v>47</v>
      </c>
    </row>
    <row r="9" customFormat="false" ht="15" hidden="false" customHeight="false" outlineLevel="0" collapsed="false">
      <c r="A9" s="12" t="s">
        <v>48</v>
      </c>
      <c r="B9" s="4" t="s">
        <v>49</v>
      </c>
      <c r="C9" s="4" t="s">
        <v>34</v>
      </c>
      <c r="D9" s="13" t="s">
        <v>34</v>
      </c>
      <c r="E9" s="4" t="s">
        <v>50</v>
      </c>
    </row>
    <row r="10" customFormat="false" ht="35.05" hidden="false" customHeight="false" outlineLevel="0" collapsed="false">
      <c r="A10" s="12" t="s">
        <v>51</v>
      </c>
      <c r="B10" s="4" t="s">
        <v>52</v>
      </c>
      <c r="C10" s="4" t="s">
        <v>53</v>
      </c>
      <c r="D10" s="13" t="s">
        <v>54</v>
      </c>
      <c r="E10" s="4" t="s">
        <v>55</v>
      </c>
    </row>
    <row r="11" customFormat="false" ht="15" hidden="false" customHeight="false" outlineLevel="0" collapsed="false">
      <c r="A11" s="12" t="s">
        <v>56</v>
      </c>
      <c r="B11" s="4" t="s">
        <v>57</v>
      </c>
      <c r="C11" s="4" t="s">
        <v>58</v>
      </c>
      <c r="D11" s="13" t="s">
        <v>59</v>
      </c>
      <c r="E11" s="4" t="s">
        <v>60</v>
      </c>
    </row>
    <row r="12" customFormat="false" ht="23.85" hidden="false" customHeight="false" outlineLevel="0" collapsed="false">
      <c r="A12" s="12" t="s">
        <v>61</v>
      </c>
      <c r="B12" s="4" t="s">
        <v>62</v>
      </c>
      <c r="C12" s="4" t="s">
        <v>63</v>
      </c>
      <c r="D12" s="13" t="s">
        <v>59</v>
      </c>
      <c r="E12" s="4" t="s">
        <v>64</v>
      </c>
    </row>
    <row r="14" customFormat="false" ht="15" hidden="false" customHeight="false" outlineLevel="0" collapsed="false">
      <c r="A14" s="3" t="s">
        <v>65</v>
      </c>
      <c r="B14" s="14"/>
    </row>
    <row r="15" customFormat="false" ht="15" hidden="false" customHeight="false" outlineLevel="0" collapsed="false">
      <c r="A15" s="4" t="s">
        <v>13</v>
      </c>
      <c r="B15" s="15" t="n">
        <f aca="false">COUNTA(A5:A12)</f>
        <v>8</v>
      </c>
    </row>
    <row r="16" customFormat="false" ht="15" hidden="false" customHeight="false" outlineLevel="0" collapsed="false">
      <c r="A16" s="4" t="s">
        <v>66</v>
      </c>
      <c r="B16" s="15" t="n">
        <f aca="false">COUNTIF(D5:D12,"Yes")</f>
        <v>5</v>
      </c>
    </row>
    <row r="17" customFormat="false" ht="15" hidden="false" customHeight="false" outlineLevel="0" collapsed="false">
      <c r="A17" s="4" t="s">
        <v>67</v>
      </c>
      <c r="B17" s="15" t="n">
        <f aca="false">COUNTIF(D5:D12,"Trade-off")</f>
        <v>2</v>
      </c>
    </row>
    <row r="18" customFormat="false" ht="15" hidden="false" customHeight="false" outlineLevel="0" collapsed="false">
      <c r="A18" s="4" t="s">
        <v>68</v>
      </c>
      <c r="B18" s="15" t="n">
        <f aca="false">COUNTIF(D5:D12,"No")</f>
        <v>1</v>
      </c>
    </row>
    <row r="20" customFormat="false" ht="15" hidden="false" customHeight="false" outlineLevel="0" collapsed="false">
      <c r="A20" s="16" t="s">
        <v>69</v>
      </c>
    </row>
  </sheetData>
  <dataValidations count="1">
    <dataValidation allowBlank="false" errorStyle="stop" operator="between" showDropDown="false" showErrorMessage="false" showInputMessage="false" sqref="D5:D12" type="list">
      <formula1>"Yes,No,Trade-off"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6"/>
    <col collapsed="false" customWidth="true" hidden="false" outlineLevel="0" max="4" min="4" style="0" width="24"/>
    <col collapsed="false" customWidth="true" hidden="false" outlineLevel="0" max="6" min="5" style="0" width="16"/>
  </cols>
  <sheetData>
    <row r="1" customFormat="false" ht="24" hidden="false" customHeight="tru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23.85" hidden="false" customHeight="false" outlineLevel="0" collapsed="false">
      <c r="A4" s="11" t="s">
        <v>72</v>
      </c>
      <c r="B4" s="11" t="s">
        <v>73</v>
      </c>
      <c r="C4" s="11" t="s">
        <v>74</v>
      </c>
    </row>
    <row r="5" customFormat="false" ht="23.85" hidden="false" customHeight="false" outlineLevel="0" collapsed="false">
      <c r="A5" s="12" t="s">
        <v>75</v>
      </c>
      <c r="B5" s="4" t="s">
        <v>76</v>
      </c>
      <c r="C5" s="4" t="s">
        <v>77</v>
      </c>
    </row>
    <row r="6" customFormat="false" ht="15" hidden="false" customHeight="false" outlineLevel="0" collapsed="false">
      <c r="A6" s="12" t="s">
        <v>78</v>
      </c>
      <c r="B6" s="4" t="s">
        <v>79</v>
      </c>
      <c r="C6" s="4" t="s">
        <v>80</v>
      </c>
    </row>
    <row r="7" customFormat="false" ht="15" hidden="false" customHeight="false" outlineLevel="0" collapsed="false">
      <c r="A7" s="12" t="s">
        <v>81</v>
      </c>
      <c r="B7" s="4" t="s">
        <v>82</v>
      </c>
      <c r="C7" s="4" t="s">
        <v>83</v>
      </c>
    </row>
    <row r="8" customFormat="false" ht="15" hidden="false" customHeight="false" outlineLevel="0" collapsed="false">
      <c r="A8" s="12" t="s">
        <v>84</v>
      </c>
      <c r="B8" s="4" t="s">
        <v>85</v>
      </c>
      <c r="C8" s="4" t="s">
        <v>86</v>
      </c>
    </row>
    <row r="9" customFormat="false" ht="23.85" hidden="false" customHeight="false" outlineLevel="0" collapsed="false">
      <c r="A9" s="12" t="s">
        <v>87</v>
      </c>
      <c r="B9" s="4"/>
      <c r="C9" s="4" t="s">
        <v>88</v>
      </c>
    </row>
    <row r="11" customFormat="false" ht="19.5" hidden="false" customHeight="true" outlineLevel="0" collapsed="false">
      <c r="A11" s="17" t="s">
        <v>89</v>
      </c>
    </row>
    <row r="12" customFormat="false" ht="37.5" hidden="false" customHeight="true" outlineLevel="0" collapsed="false">
      <c r="A12" s="18" t="s">
        <v>90</v>
      </c>
      <c r="B12" s="18"/>
      <c r="C12" s="18"/>
      <c r="D12" s="18"/>
      <c r="E12" s="18"/>
      <c r="F12" s="18"/>
    </row>
    <row r="14" customFormat="false" ht="15" hidden="false" customHeight="false" outlineLevel="0" collapsed="false">
      <c r="A14" s="11" t="s">
        <v>91</v>
      </c>
      <c r="B14" s="11" t="s">
        <v>92</v>
      </c>
      <c r="C14" s="11" t="s">
        <v>93</v>
      </c>
      <c r="D14" s="11" t="s">
        <v>94</v>
      </c>
      <c r="E14" s="11" t="s">
        <v>95</v>
      </c>
      <c r="F14" s="11" t="s">
        <v>96</v>
      </c>
    </row>
    <row r="15" customFormat="false" ht="22.35" hidden="false" customHeight="false" outlineLevel="0" collapsed="false">
      <c r="A15" s="19" t="s">
        <v>97</v>
      </c>
      <c r="B15" s="20" t="n">
        <v>4</v>
      </c>
      <c r="C15" s="20" t="n">
        <v>3</v>
      </c>
      <c r="D15" s="20" t="n">
        <v>5</v>
      </c>
      <c r="E15" s="20" t="n">
        <f aca="false">B15*C15</f>
        <v>12</v>
      </c>
      <c r="F15" s="20" t="n">
        <f aca="false">B15*D15</f>
        <v>20</v>
      </c>
    </row>
    <row r="16" customFormat="false" ht="15" hidden="false" customHeight="false" outlineLevel="0" collapsed="false">
      <c r="A16" s="9" t="s">
        <v>98</v>
      </c>
      <c r="B16" s="21"/>
      <c r="C16" s="21"/>
      <c r="D16" s="21"/>
      <c r="E16" s="22" t="n">
        <f aca="false">B16*C16</f>
        <v>0</v>
      </c>
      <c r="F16" s="22" t="n">
        <f aca="false">B16*D16</f>
        <v>0</v>
      </c>
    </row>
    <row r="17" customFormat="false" ht="15" hidden="false" customHeight="false" outlineLevel="0" collapsed="false">
      <c r="A17" s="9" t="s">
        <v>99</v>
      </c>
      <c r="B17" s="21"/>
      <c r="C17" s="21"/>
      <c r="D17" s="21"/>
      <c r="E17" s="22" t="n">
        <f aca="false">B17*C17</f>
        <v>0</v>
      </c>
      <c r="F17" s="22" t="n">
        <f aca="false">B17*D17</f>
        <v>0</v>
      </c>
    </row>
    <row r="18" customFormat="false" ht="15" hidden="false" customHeight="false" outlineLevel="0" collapsed="false">
      <c r="A18" s="9" t="s">
        <v>100</v>
      </c>
      <c r="B18" s="21"/>
      <c r="C18" s="21"/>
      <c r="D18" s="21"/>
      <c r="E18" s="22" t="n">
        <f aca="false">B18*C18</f>
        <v>0</v>
      </c>
      <c r="F18" s="22" t="n">
        <f aca="false">B18*D18</f>
        <v>0</v>
      </c>
    </row>
    <row r="19" customFormat="false" ht="15" hidden="false" customHeight="false" outlineLevel="0" collapsed="false">
      <c r="A19" s="9" t="s">
        <v>101</v>
      </c>
      <c r="B19" s="21"/>
      <c r="C19" s="21"/>
      <c r="D19" s="21"/>
      <c r="E19" s="22" t="n">
        <f aca="false">B19*C19</f>
        <v>0</v>
      </c>
      <c r="F19" s="22" t="n">
        <f aca="false">B19*D19</f>
        <v>0</v>
      </c>
    </row>
    <row r="20" customFormat="false" ht="15" hidden="false" customHeight="false" outlineLevel="0" collapsed="false">
      <c r="A20" s="9" t="s">
        <v>101</v>
      </c>
      <c r="B20" s="21"/>
      <c r="C20" s="21"/>
      <c r="D20" s="21"/>
      <c r="E20" s="22" t="n">
        <f aca="false">B20*C20</f>
        <v>0</v>
      </c>
      <c r="F20" s="22" t="n">
        <f aca="false">B20*D20</f>
        <v>0</v>
      </c>
    </row>
    <row r="21" customFormat="false" ht="15" hidden="false" customHeight="false" outlineLevel="0" collapsed="false">
      <c r="A21" s="3" t="s">
        <v>102</v>
      </c>
      <c r="B21" s="14"/>
      <c r="C21" s="14"/>
      <c r="D21" s="14"/>
      <c r="E21" s="23" t="n">
        <f aca="false">SUM(E16:E20)</f>
        <v>0</v>
      </c>
      <c r="F21" s="23" t="n">
        <f aca="false">SUM(F16:F20)</f>
        <v>0</v>
      </c>
    </row>
    <row r="22" customFormat="false" ht="15" hidden="false" customHeight="false" outlineLevel="0" collapsed="false">
      <c r="A22" s="4" t="s">
        <v>103</v>
      </c>
      <c r="E22" s="24" t="n">
        <f aca="false">IF(SUM(B16:B20)=0,0,E21/SUM(B16:B20))</f>
        <v>0</v>
      </c>
      <c r="F22" s="24" t="n">
        <f aca="false">IF(SUM(B16:B20)=0,0,F21/SUM(B16:B20))</f>
        <v>0</v>
      </c>
    </row>
    <row r="23" customFormat="false" ht="15" hidden="false" customHeight="false" outlineLevel="0" collapsed="false">
      <c r="A23" s="12" t="s">
        <v>104</v>
      </c>
      <c r="B23" s="12" t="str">
        <f aca="false">IF(E21+F21=0,"Fill in the yellow cells",IF(E21&gt;F21,"Leaning to Option A: own server + PostgreSQL",IF(F21&gt;E21,"Leaning to Option B: managed service","Tie")))</f>
        <v>Fill in the yellow cells</v>
      </c>
      <c r="C23" s="12"/>
      <c r="D23" s="12"/>
      <c r="E23" s="12"/>
      <c r="F23" s="12"/>
    </row>
  </sheetData>
  <mergeCells count="2">
    <mergeCell ref="A12:F12"/>
    <mergeCell ref="B23:F23"/>
  </mergeCells>
  <dataValidations count="1">
    <dataValidation allowBlank="false" error="Enter a whole number from 1 to 5." errorStyle="stop" errorTitle="1 to 5" operator="between" showDropDown="false" showErrorMessage="true" showInputMessage="false" sqref="B16:D2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5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24" hidden="false" customHeight="tru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11" t="s">
        <v>107</v>
      </c>
      <c r="B4" s="11" t="s">
        <v>108</v>
      </c>
      <c r="C4" s="11" t="s">
        <v>109</v>
      </c>
      <c r="D4" s="11" t="s">
        <v>110</v>
      </c>
      <c r="E4" s="11" t="s">
        <v>111</v>
      </c>
      <c r="F4" s="11" t="s">
        <v>112</v>
      </c>
    </row>
    <row r="5" customFormat="false" ht="23.85" hidden="false" customHeight="false" outlineLevel="0" collapsed="false">
      <c r="A5" s="22" t="n">
        <f aca="false">ROW()-4</f>
        <v>1</v>
      </c>
      <c r="B5" s="12" t="s">
        <v>113</v>
      </c>
      <c r="C5" s="4" t="s">
        <v>114</v>
      </c>
      <c r="D5" s="4" t="s">
        <v>115</v>
      </c>
      <c r="E5" s="21" t="s">
        <v>116</v>
      </c>
      <c r="F5" s="4"/>
    </row>
    <row r="6" customFormat="false" ht="23.85" hidden="false" customHeight="false" outlineLevel="0" collapsed="false">
      <c r="A6" s="22" t="n">
        <f aca="false">ROW()-4</f>
        <v>2</v>
      </c>
      <c r="B6" s="12" t="s">
        <v>117</v>
      </c>
      <c r="C6" s="4" t="s">
        <v>118</v>
      </c>
      <c r="D6" s="4" t="s">
        <v>115</v>
      </c>
      <c r="E6" s="21" t="s">
        <v>116</v>
      </c>
      <c r="F6" s="4" t="s">
        <v>119</v>
      </c>
    </row>
    <row r="7" customFormat="false" ht="23.85" hidden="false" customHeight="false" outlineLevel="0" collapsed="false">
      <c r="A7" s="22" t="n">
        <f aca="false">ROW()-4</f>
        <v>3</v>
      </c>
      <c r="B7" s="12" t="s">
        <v>120</v>
      </c>
      <c r="C7" s="4" t="s">
        <v>121</v>
      </c>
      <c r="D7" s="4" t="s">
        <v>122</v>
      </c>
      <c r="E7" s="21" t="s">
        <v>116</v>
      </c>
      <c r="F7" s="4"/>
    </row>
    <row r="8" customFormat="false" ht="23.85" hidden="false" customHeight="false" outlineLevel="0" collapsed="false">
      <c r="A8" s="22" t="n">
        <f aca="false">ROW()-4</f>
        <v>4</v>
      </c>
      <c r="B8" s="12" t="s">
        <v>123</v>
      </c>
      <c r="C8" s="4" t="s">
        <v>124</v>
      </c>
      <c r="D8" s="4" t="s">
        <v>122</v>
      </c>
      <c r="E8" s="21" t="s">
        <v>116</v>
      </c>
      <c r="F8" s="4" t="s">
        <v>125</v>
      </c>
    </row>
    <row r="9" customFormat="false" ht="15" hidden="false" customHeight="false" outlineLevel="0" collapsed="false">
      <c r="A9" s="22" t="n">
        <f aca="false">ROW()-4</f>
        <v>5</v>
      </c>
      <c r="B9" s="12" t="s">
        <v>126</v>
      </c>
      <c r="C9" s="4" t="s">
        <v>127</v>
      </c>
      <c r="D9" s="4" t="s">
        <v>128</v>
      </c>
      <c r="E9" s="21" t="s">
        <v>116</v>
      </c>
      <c r="F9" s="4"/>
    </row>
    <row r="10" customFormat="false" ht="23.85" hidden="false" customHeight="false" outlineLevel="0" collapsed="false">
      <c r="A10" s="22" t="n">
        <f aca="false">ROW()-4</f>
        <v>6</v>
      </c>
      <c r="B10" s="12" t="s">
        <v>129</v>
      </c>
      <c r="C10" s="4" t="s">
        <v>130</v>
      </c>
      <c r="D10" s="4" t="s">
        <v>131</v>
      </c>
      <c r="E10" s="21" t="s">
        <v>116</v>
      </c>
      <c r="F10" s="4"/>
    </row>
    <row r="11" customFormat="false" ht="23.85" hidden="false" customHeight="false" outlineLevel="0" collapsed="false">
      <c r="A11" s="22" t="n">
        <f aca="false">ROW()-4</f>
        <v>7</v>
      </c>
      <c r="B11" s="12" t="s">
        <v>132</v>
      </c>
      <c r="C11" s="4" t="s">
        <v>133</v>
      </c>
      <c r="D11" s="4" t="s">
        <v>115</v>
      </c>
      <c r="E11" s="21" t="s">
        <v>116</v>
      </c>
      <c r="F11" s="4" t="s">
        <v>134</v>
      </c>
    </row>
    <row r="12" customFormat="false" ht="15" hidden="false" customHeight="false" outlineLevel="0" collapsed="false">
      <c r="A12" s="22" t="n">
        <f aca="false">ROW()-4</f>
        <v>8</v>
      </c>
      <c r="B12" s="12" t="s">
        <v>135</v>
      </c>
      <c r="C12" s="4" t="s">
        <v>136</v>
      </c>
      <c r="D12" s="4" t="s">
        <v>115</v>
      </c>
      <c r="E12" s="21" t="s">
        <v>116</v>
      </c>
      <c r="F12" s="4" t="s">
        <v>137</v>
      </c>
    </row>
    <row r="13" customFormat="false" ht="23.85" hidden="false" customHeight="false" outlineLevel="0" collapsed="false">
      <c r="A13" s="22" t="n">
        <f aca="false">ROW()-4</f>
        <v>9</v>
      </c>
      <c r="B13" s="12" t="s">
        <v>138</v>
      </c>
      <c r="C13" s="4" t="s">
        <v>139</v>
      </c>
      <c r="D13" s="4" t="s">
        <v>140</v>
      </c>
      <c r="E13" s="21" t="s">
        <v>116</v>
      </c>
      <c r="F13" s="4" t="s">
        <v>141</v>
      </c>
    </row>
    <row r="14" customFormat="false" ht="15" hidden="false" customHeight="false" outlineLevel="0" collapsed="false">
      <c r="A14" s="22" t="n">
        <f aca="false">ROW()-4</f>
        <v>10</v>
      </c>
      <c r="B14" s="12" t="s">
        <v>142</v>
      </c>
      <c r="C14" s="4" t="s">
        <v>143</v>
      </c>
      <c r="D14" s="4" t="s">
        <v>115</v>
      </c>
      <c r="E14" s="21" t="s">
        <v>116</v>
      </c>
      <c r="F14" s="4"/>
    </row>
    <row r="16" customFormat="false" ht="15" hidden="false" customHeight="false" outlineLevel="0" collapsed="false">
      <c r="B16" s="3" t="s">
        <v>144</v>
      </c>
      <c r="C16" s="14"/>
    </row>
    <row r="17" customFormat="false" ht="15" hidden="false" customHeight="false" outlineLevel="0" collapsed="false">
      <c r="B17" s="4" t="s">
        <v>145</v>
      </c>
      <c r="C17" s="15" t="n">
        <f aca="false">COUNTA(B5:B14)</f>
        <v>10</v>
      </c>
    </row>
    <row r="18" customFormat="false" ht="15" hidden="false" customHeight="false" outlineLevel="0" collapsed="false">
      <c r="B18" s="4" t="s">
        <v>146</v>
      </c>
      <c r="C18" s="15" t="n">
        <f aca="false">COUNTIF(E5:E14,"Done")</f>
        <v>0</v>
      </c>
    </row>
    <row r="19" customFormat="false" ht="15" hidden="false" customHeight="false" outlineLevel="0" collapsed="false">
      <c r="B19" s="4" t="s">
        <v>147</v>
      </c>
      <c r="C19" s="15" t="n">
        <f aca="false">COUNTIF(E5:E14,"In progress")</f>
        <v>0</v>
      </c>
    </row>
    <row r="20" customFormat="false" ht="15" hidden="false" customHeight="false" outlineLevel="0" collapsed="false">
      <c r="B20" s="4" t="s">
        <v>116</v>
      </c>
      <c r="C20" s="15" t="n">
        <f aca="false">COUNTIF(E5:E14,"Not started")</f>
        <v>10</v>
      </c>
    </row>
    <row r="21" customFormat="false" ht="15" hidden="false" customHeight="false" outlineLevel="0" collapsed="false">
      <c r="B21" s="4" t="s">
        <v>148</v>
      </c>
      <c r="C21" s="25" t="n">
        <f aca="false">IF(C17=0,0,C18/C17)</f>
        <v>0</v>
      </c>
    </row>
  </sheetData>
  <conditionalFormatting sqref="E5:E1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E5:E14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  <col collapsed="false" customWidth="true" hidden="false" outlineLevel="0" max="5" min="4" style="0" width="14"/>
  </cols>
  <sheetData>
    <row r="1" customFormat="false" ht="24" hidden="false" customHeight="tru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11" t="s">
        <v>151</v>
      </c>
      <c r="B4" s="11" t="s">
        <v>111</v>
      </c>
      <c r="C4" s="11" t="s">
        <v>152</v>
      </c>
    </row>
    <row r="5" customFormat="false" ht="35.05" hidden="false" customHeight="false" outlineLevel="0" collapsed="false">
      <c r="A5" s="12" t="s">
        <v>153</v>
      </c>
      <c r="B5" s="13" t="s">
        <v>146</v>
      </c>
      <c r="C5" s="4" t="s">
        <v>154</v>
      </c>
    </row>
    <row r="6" customFormat="false" ht="15" hidden="false" customHeight="false" outlineLevel="0" collapsed="false">
      <c r="A6" s="12" t="s">
        <v>155</v>
      </c>
      <c r="B6" s="13" t="s">
        <v>146</v>
      </c>
      <c r="C6" s="4" t="s">
        <v>156</v>
      </c>
    </row>
    <row r="7" customFormat="false" ht="35.05" hidden="false" customHeight="false" outlineLevel="0" collapsed="false">
      <c r="A7" s="12" t="s">
        <v>157</v>
      </c>
      <c r="B7" s="13" t="s">
        <v>146</v>
      </c>
      <c r="C7" s="4" t="s">
        <v>158</v>
      </c>
    </row>
    <row r="8" customFormat="false" ht="15" hidden="false" customHeight="false" outlineLevel="0" collapsed="false">
      <c r="A8" s="12" t="s">
        <v>159</v>
      </c>
      <c r="B8" s="13" t="s">
        <v>146</v>
      </c>
      <c r="C8" s="4" t="s">
        <v>160</v>
      </c>
    </row>
    <row r="9" customFormat="false" ht="15" hidden="false" customHeight="false" outlineLevel="0" collapsed="false">
      <c r="A9" s="12" t="s">
        <v>161</v>
      </c>
      <c r="B9" s="13" t="s">
        <v>162</v>
      </c>
      <c r="C9" s="4" t="s">
        <v>163</v>
      </c>
    </row>
    <row r="10" customFormat="false" ht="15" hidden="false" customHeight="false" outlineLevel="0" collapsed="false">
      <c r="A10" s="12" t="s">
        <v>164</v>
      </c>
      <c r="B10" s="13" t="s">
        <v>162</v>
      </c>
      <c r="C10" s="4" t="s">
        <v>165</v>
      </c>
    </row>
    <row r="12" customFormat="false" ht="15" hidden="false" customHeight="false" outlineLevel="0" collapsed="false">
      <c r="A12" s="11" t="s">
        <v>166</v>
      </c>
      <c r="B12" s="11" t="s">
        <v>167</v>
      </c>
      <c r="C12" s="11" t="s">
        <v>168</v>
      </c>
      <c r="D12" s="11" t="s">
        <v>169</v>
      </c>
    </row>
    <row r="13" customFormat="false" ht="15" hidden="false" customHeight="false" outlineLevel="0" collapsed="false">
      <c r="A13" s="12" t="s">
        <v>170</v>
      </c>
      <c r="B13" s="26" t="n">
        <v>115</v>
      </c>
      <c r="C13" s="27" t="n">
        <v>115</v>
      </c>
      <c r="D13" s="28" t="n">
        <f aca="false">IF(C13=0,0,B13/C13)</f>
        <v>1</v>
      </c>
    </row>
    <row r="14" customFormat="false" ht="15" hidden="false" customHeight="false" outlineLevel="0" collapsed="false">
      <c r="A14" s="12" t="s">
        <v>171</v>
      </c>
      <c r="B14" s="26" t="n">
        <v>41</v>
      </c>
      <c r="C14" s="27" t="n">
        <v>41</v>
      </c>
      <c r="D14" s="28" t="n">
        <f aca="false">IF(C14=0,0,B14/C14)</f>
        <v>1</v>
      </c>
    </row>
  </sheetData>
  <conditionalFormatting sqref="B5:B1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2026-10-18T22:55:32Z</dcterms:created>
  <dc:creator>openpyxl</dc:creator>
  <dc:description/>
  <dc:language>en-US</dc:language>
  <cp:lastModifiedBy/>
  <dcterms:modified xsi:type="dcterms:W3CDTF">2026-10-18T22:55:32Z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